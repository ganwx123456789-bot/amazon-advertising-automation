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 - 副本\"/>
    </mc:Choice>
  </mc:AlternateContent>
  <xr:revisionPtr revIDLastSave="0" documentId="13_ncr:1_{943E7505-46D6-41D4-BBD9-D1D50A522B5D}" xr6:coauthVersionLast="47" xr6:coauthVersionMax="47" xr10:uidLastSave="{00000000-0000-0000-0000-000000000000}"/>
  <bookViews>
    <workbookView xWindow="13080" yWindow="-21825" windowWidth="38640" windowHeight="21120" activeTab="1" xr2:uid="{00000000-000D-0000-FFFF-FFFF00000000}"/>
  </bookViews>
  <sheets>
    <sheet name="ID information" sheetId="7" r:id="rId1"/>
    <sheet name="Sheet1" sheetId="1" r:id="rId2"/>
  </sheets>
  <definedNames>
    <definedName name="_xlnm._FilterDatabase" localSheetId="0" hidden="1">'ID information'!$A$1:$T$21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 a="1"/>
  <c r="B2" i="7" s="1"/>
  <c r="H3" i="7"/>
  <c r="H4" i="7"/>
  <c r="H5" i="7"/>
  <c r="H6" i="7"/>
  <c r="H2" i="7"/>
  <c r="B3" i="7" a="1"/>
  <c r="B3" i="7" s="1"/>
  <c r="B4" i="7" a="1"/>
  <c r="B4" i="7" s="1"/>
  <c r="B5" i="7" a="1"/>
  <c r="B5" i="7" s="1"/>
  <c r="B6" i="7" a="1"/>
  <c r="B6" i="7" s="1"/>
  <c r="A2" i="7" a="1"/>
  <c r="A2" i="7" s="1"/>
  <c r="G2" i="7" s="1"/>
  <c r="A3" i="7" a="1"/>
  <c r="A3" i="7" s="1"/>
  <c r="G3" i="7" s="1"/>
  <c r="A5" i="7" a="1"/>
  <c r="A5" i="7" s="1"/>
  <c r="G5" i="7" s="1"/>
  <c r="A6" i="7" a="1"/>
  <c r="A6" i="7" s="1"/>
  <c r="G6" i="7" s="1"/>
  <c r="A4" i="7" a="1"/>
  <c r="A4" i="7" s="1"/>
  <c r="G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<sst xmlns="http://schemas.openxmlformats.org/spreadsheetml/2006/main" count="67" uniqueCount="56">
  <si>
    <t>https://advertising.amazon.com/case-manager?cmPanelView=newCase&amp;cmPanelOpen=false</t>
    <phoneticPr fontId="2" type="noConversion"/>
  </si>
  <si>
    <t>Newcase</t>
    <phoneticPr fontId="2" type="noConversion"/>
  </si>
  <si>
    <t>SSPA Seller Optimization Case</t>
    <phoneticPr fontId="2" type="noConversion"/>
  </si>
  <si>
    <t>Advertising Accelerator Program</t>
    <phoneticPr fontId="2" type="noConversion"/>
  </si>
  <si>
    <t>Assignee</t>
  </si>
  <si>
    <t>owengx</t>
    <phoneticPr fontId="2" type="noConversion"/>
  </si>
  <si>
    <t>Case Status*</t>
  </si>
  <si>
    <t>Optimization Complete</t>
  </si>
  <si>
    <t>Automated; 15 mins; SDS; SDS Keyword Report</t>
    <phoneticPr fontId="2" type="noConversion"/>
  </si>
  <si>
    <t>Case description</t>
    <phoneticPr fontId="2" type="noConversion"/>
  </si>
  <si>
    <t>要进入的URL</t>
    <phoneticPr fontId="2" type="noConversion"/>
  </si>
  <si>
    <t>Advertiser Information</t>
  </si>
  <si>
    <t>Account name*</t>
  </si>
  <si>
    <t>Advertiser account name</t>
  </si>
  <si>
    <t>Optimization marketplace*</t>
  </si>
  <si>
    <t>Marketplace advertiser is selling at</t>
    <phoneticPr fontId="2" type="noConversion"/>
  </si>
  <si>
    <t>Advertiser ID*</t>
  </si>
  <si>
    <t>Advertiser ID</t>
  </si>
  <si>
    <t>Advertiser type*</t>
  </si>
  <si>
    <t>Seller</t>
    <phoneticPr fontId="2" type="noConversion"/>
  </si>
  <si>
    <t>Request Details</t>
  </si>
  <si>
    <t>Submitting team*</t>
  </si>
  <si>
    <t>GGS</t>
  </si>
  <si>
    <t>Optimization type*</t>
  </si>
  <si>
    <t>Refer to the detailed table</t>
    <phoneticPr fontId="2" type="noConversion"/>
  </si>
  <si>
    <t>Submitted by*</t>
  </si>
  <si>
    <t>GGS APAC</t>
  </si>
  <si>
    <t>Optimization delivery</t>
  </si>
  <si>
    <t>Scheduled</t>
  </si>
  <si>
    <t>步骤</t>
    <phoneticPr fontId="2" type="noConversion"/>
  </si>
  <si>
    <t>out html</t>
    <phoneticPr fontId="2" type="noConversion"/>
  </si>
  <si>
    <t>选项</t>
    <phoneticPr fontId="2" type="noConversion"/>
  </si>
  <si>
    <t>Case record type*</t>
    <phoneticPr fontId="2" type="noConversion"/>
  </si>
  <si>
    <t>Submit</t>
  </si>
  <si>
    <t>Brand name(optional)</t>
  </si>
  <si>
    <t>Optimization type</t>
  </si>
  <si>
    <t>Case description(optional)</t>
  </si>
  <si>
    <t>Submitting team</t>
  </si>
  <si>
    <t>Optimization delivery</t>
  </si>
  <si>
    <t>Case Status(auto fill)</t>
  </si>
  <si>
    <t>Submitted by(auto fill)</t>
  </si>
  <si>
    <t>owengx</t>
    <phoneticPr fontId="2" type="noConversion"/>
  </si>
  <si>
    <t>Assignee(auto fill)</t>
    <phoneticPr fontId="2" type="noConversion"/>
  </si>
  <si>
    <t>Submitter email address is required(auto fill)</t>
    <phoneticPr fontId="2" type="noConversion"/>
  </si>
  <si>
    <t>owengx@amazon.com</t>
    <phoneticPr fontId="2" type="noConversion"/>
  </si>
  <si>
    <t>CA</t>
  </si>
  <si>
    <t>Pre Optimization</t>
  </si>
  <si>
    <t>Deep Dive Report</t>
  </si>
  <si>
    <t>Keyword Reporting</t>
  </si>
  <si>
    <t>Automated; 45 mins; STAR; STAR Keyword Report</t>
    <phoneticPr fontId="2" type="noConversion"/>
  </si>
  <si>
    <t>AAP CN</t>
    <phoneticPr fontId="2" type="noConversion"/>
  </si>
  <si>
    <t>Account optimization</t>
    <phoneticPr fontId="2" type="noConversion"/>
  </si>
  <si>
    <t>NCC or OPT</t>
    <phoneticPr fontId="2" type="noConversion"/>
  </si>
  <si>
    <t>Manual; 45 mins; Media plan template; Media Plan</t>
    <phoneticPr fontId="2" type="noConversion"/>
  </si>
  <si>
    <t>Manual; 45 mins; Campaign Bulk File; Strategy Analysis Report</t>
    <phoneticPr fontId="2" type="noConversion"/>
  </si>
  <si>
    <t>AOSU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</si>
</sst>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3633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6"/>
      <color rgb="FF000000"/>
      <name val="Amazon Ember"/>
      <family val="2"/>
    </font>
  </fonts>
  <fills count="7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600"/>
        <bgColor indexed="64"/>
      </patternFill>
    </fill>
  </fills>
  <borders count="9">
    <border>
      <left/>
      <right/>
      <top/>
      <bottom/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3" xfId="0" applyFill="1" applyBorder="1" applyAlignment="1">
      <alignment horizontal="center" vertical="center" wrapText="1"/>
    </xf>
    <xf numFmtId="0" fontId="1" fillId="0" borderId="0" xfId="1"/>
    <xf numFmtId="0" fontId="0" fillId="3" borderId="3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6" borderId="3" xfId="0" applyFill="1" applyBorder="1" applyAlignment="1">
      <alignment horizontal="left" vertical="center" wrapText="1"/>
    </xf>
    <xf numFmtId="0" fontId="0" fillId="5" borderId="7" xfId="0" applyFill="1" applyBorder="1" applyAlignment="1">
      <alignment vertical="center"/>
    </xf>
    <xf numFmtId="176" fontId="0" fillId="0" borderId="0" xfId="0" applyNumberFormat="1"/>
    <xf numFmtId="176" fontId="0" fillId="0" borderId="8" xfId="0" applyNumberFormat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wengx@amazon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dvertising.amazon.com/case-manager?cmPanelView=newCase&amp;cmPanelOpen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B35E-8A54-4C55-BC94-8818181D19C8}">
  <dimension ref="A1:U21"/>
  <sheetViews>
    <sheetView zoomScale="115" zoomScaleNormal="115" workbookViewId="0">
      <selection activeCell="A48" sqref="A48"/>
    </sheetView>
  </sheetViews>
  <sheetFormatPr defaultRowHeight="14" x14ac:dyDescent="0.3"/>
  <cols>
    <col min="1" max="1" width="34" customWidth="1"/>
    <col min="2" max="3" width="22.6640625" customWidth="1"/>
    <col min="4" max="4" width="14.25" style="21" customWidth="1"/>
    <col min="5" max="5" width="27.25" customWidth="1"/>
    <col min="6" max="6" width="20.25" customWidth="1"/>
    <col min="7" max="7" width="17.33203125" customWidth="1"/>
    <col min="8" max="8" width="34" customWidth="1"/>
    <col min="9" max="9" width="18.58203125" bestFit="1" customWidth="1"/>
    <col min="10" max="10" width="17.5" bestFit="1" customWidth="1"/>
    <col min="11" max="11" width="19.25" bestFit="1" customWidth="1"/>
    <col min="12" max="12" width="15.4140625" bestFit="1" customWidth="1"/>
    <col min="13" max="13" width="18.75" customWidth="1"/>
    <col min="19" max="19" width="23.08203125" customWidth="1"/>
    <col min="20" max="20" width="18.25" customWidth="1"/>
    <col min="21" max="21" width="19.33203125" customWidth="1"/>
  </cols>
  <sheetData>
    <row r="1" spans="1:21" ht="14.5" thickBot="1" x14ac:dyDescent="0.35">
      <c r="A1" s="10" t="s">
        <v>32</v>
      </c>
      <c r="B1" t="s">
        <v>13</v>
      </c>
      <c r="C1" t="s">
        <v>34</v>
      </c>
      <c r="D1" s="21" t="s">
        <v>16</v>
      </c>
      <c r="E1" t="s">
        <v>14</v>
      </c>
      <c r="F1" t="s">
        <v>35</v>
      </c>
      <c r="G1" t="s">
        <v>37</v>
      </c>
      <c r="H1" t="s">
        <v>36</v>
      </c>
      <c r="I1" t="s">
        <v>38</v>
      </c>
      <c r="J1" t="s">
        <v>39</v>
      </c>
      <c r="K1" t="s">
        <v>40</v>
      </c>
      <c r="L1" t="s">
        <v>42</v>
      </c>
      <c r="M1" t="s">
        <v>43</v>
      </c>
      <c r="U1" s="15"/>
    </row>
    <row r="2" spans="1:21" ht="14.5" thickBot="1" x14ac:dyDescent="0.35">
      <c r="A2" s="6" t="e" cm="1">
        <f t="array" ref="A2">IF( _xlfn.XLOOKUP(D2&amp;"" &amp; E2,#REF! &amp;#REF!,#REF!) = "Y", Sheet1!$B$5, Sheet1!$B$4)</f>
        <v>#REF!</v>
      </c>
      <c r="B2" s="16" t="e" cm="1">
        <f t="array" ref="B2">_xlfn.XLOOKUP(D2&amp;"" &amp; E2,#REF! &amp;#REF!,#REF!, "未找到匹配项")</f>
        <v>#REF!</v>
      </c>
      <c r="C2" t="s">
        <v>55</v>
      </c>
      <c r="D2" s="23">
        <v>369052358002</v>
      </c>
      <c r="E2" s="20" t="s">
        <v>45</v>
      </c>
      <c r="F2" s="19" t="s">
        <v>47</v>
      </c>
      <c r="G2" s="7" t="e">
        <f>IF(A2=Sheet1!$B$5, Sheet1!$B$17, IF(A2=Sheet1!$B$4, Sheet1!$B$16, "不符合任何条件"))</f>
        <v>#REF!</v>
      </c>
      <c r="H2" s="17" t="str">
        <f>_xlfn.XLOOKUP(F2, Sheet1!$B$22:$B$25, Sheet1!$C$22:$C$25, "未找到", 0)</f>
        <v>Manual; 45 mins; Campaign Bulk File; Strategy Analysis Report</v>
      </c>
      <c r="I2" s="7" t="s">
        <v>28</v>
      </c>
      <c r="J2" s="18" t="s">
        <v>7</v>
      </c>
      <c r="K2" s="9" t="s">
        <v>26</v>
      </c>
      <c r="L2" t="s">
        <v>41</v>
      </c>
      <c r="M2" s="2" t="s">
        <v>44</v>
      </c>
      <c r="U2" s="7"/>
    </row>
    <row r="3" spans="1:21" ht="14.5" thickBot="1" x14ac:dyDescent="0.35">
      <c r="A3" s="6" t="e" cm="1">
        <f t="array" ref="A3">IF( _xlfn.XLOOKUP(D3&amp;"" &amp; E3,#REF! &amp;#REF!,#REF!) = "Y", Sheet1!$B$5, Sheet1!$B$4)</f>
        <v>#REF!</v>
      </c>
      <c r="B3" s="16" t="e" cm="1">
        <f t="array" ref="B3">_xlfn.XLOOKUP(D3&amp;"" &amp; E3,#REF! &amp;#REF!,#REF!, "未找到匹配项")</f>
        <v>#REF!</v>
      </c>
      <c r="D3" s="22"/>
      <c r="G3" s="7" t="e">
        <f>IF(A3=Sheet1!$B$5, Sheet1!$B$17, IF(A3=Sheet1!$B$4, Sheet1!$B$16, "不符合任何条件"))</f>
        <v>#REF!</v>
      </c>
      <c r="H3" s="17" t="str">
        <f>_xlfn.XLOOKUP(F3, Sheet1!$B$22:$B$25, Sheet1!$C$22:$C$25, "未找到", 0)</f>
        <v>未找到</v>
      </c>
      <c r="I3" s="7" t="s">
        <v>28</v>
      </c>
      <c r="J3" s="18"/>
      <c r="K3" s="9"/>
      <c r="M3" s="2"/>
      <c r="U3" s="7"/>
    </row>
    <row r="4" spans="1:21" ht="14.5" thickBot="1" x14ac:dyDescent="0.35">
      <c r="A4" s="6" t="e" cm="1">
        <f t="array" ref="A4">IF( _xlfn.XLOOKUP(D4&amp;"" &amp; E4,#REF! &amp;#REF!,#REF!) = "Y", Sheet1!$B$5, Sheet1!$B$4)</f>
        <v>#REF!</v>
      </c>
      <c r="B4" s="16" t="e" cm="1">
        <f t="array" ref="B4">_xlfn.XLOOKUP(D4&amp;"" &amp; E4,#REF! &amp;#REF!,#REF!, "未找到匹配项")</f>
        <v>#REF!</v>
      </c>
      <c r="D4" s="22"/>
      <c r="G4" s="7" t="e">
        <f>IF(A4=Sheet1!$B$5, Sheet1!$B$17, IF(A4=Sheet1!$B$4, Sheet1!$B$16, "不符合任何条件"))</f>
        <v>#REF!</v>
      </c>
      <c r="H4" s="17" t="str">
        <f>_xlfn.XLOOKUP(F4, Sheet1!$B$22:$B$25, Sheet1!$C$22:$C$25, "未找到", 0)</f>
        <v>未找到</v>
      </c>
      <c r="I4" s="7" t="s">
        <v>28</v>
      </c>
      <c r="U4" s="7"/>
    </row>
    <row r="5" spans="1:21" ht="14.5" thickBot="1" x14ac:dyDescent="0.35">
      <c r="A5" s="6" t="e" cm="1">
        <f t="array" ref="A5">IF( _xlfn.XLOOKUP(D5&amp;"" &amp; E5,#REF! &amp;#REF!,#REF!) = "Y", Sheet1!$B$5, Sheet1!$B$4)</f>
        <v>#REF!</v>
      </c>
      <c r="B5" s="16" t="e" cm="1">
        <f t="array" ref="B5">_xlfn.XLOOKUP(D5&amp;"" &amp; E5,#REF! &amp;#REF!,#REF!, "未找到匹配项")</f>
        <v>#REF!</v>
      </c>
      <c r="D5" s="22"/>
      <c r="G5" s="7" t="e">
        <f>IF(A5=Sheet1!$B$5, Sheet1!$B$17, IF(A5=Sheet1!$B$4, Sheet1!$B$16, "不符合任何条件"))</f>
        <v>#REF!</v>
      </c>
      <c r="H5" s="17" t="str">
        <f>_xlfn.XLOOKUP(F5, Sheet1!$B$22:$B$25, Sheet1!$C$22:$C$25, "未找到", 0)</f>
        <v>未找到</v>
      </c>
      <c r="I5" s="7" t="s">
        <v>28</v>
      </c>
      <c r="U5" s="7"/>
    </row>
    <row r="6" spans="1:21" ht="14.5" thickBot="1" x14ac:dyDescent="0.35">
      <c r="A6" s="6" t="e" cm="1">
        <f t="array" ref="A6">IF( _xlfn.XLOOKUP(D6&amp;"" &amp; E6,#REF! &amp;#REF!,#REF!) = "Y", Sheet1!$B$5, Sheet1!$B$4)</f>
        <v>#REF!</v>
      </c>
      <c r="B6" s="16" t="e" cm="1">
        <f t="array" ref="B6">_xlfn.XLOOKUP(D6&amp;"" &amp; E6,#REF! &amp;#REF!,#REF!, "未找到匹配项")</f>
        <v>#REF!</v>
      </c>
      <c r="G6" s="7" t="e">
        <f>IF(A6=Sheet1!$B$5, Sheet1!$B$17, IF(A6=Sheet1!$B$4, Sheet1!$B$16, "不符合任何条件"))</f>
        <v>#REF!</v>
      </c>
      <c r="H6" s="17" t="str">
        <f>_xlfn.XLOOKUP(F6, Sheet1!$B$22:$B$25, Sheet1!$C$22:$C$25, "未找到", 0)</f>
        <v>未找到</v>
      </c>
      <c r="I6" s="7"/>
      <c r="J6" s="18"/>
      <c r="K6" s="9"/>
      <c r="M6" s="2"/>
      <c r="U6" s="7"/>
    </row>
    <row r="7" spans="1:21" ht="14.5" thickBot="1" x14ac:dyDescent="0.35">
      <c r="J7" s="18"/>
      <c r="K7" s="9"/>
      <c r="M7" s="2"/>
      <c r="U7" s="7"/>
    </row>
    <row r="8" spans="1:21" ht="14.5" thickBot="1" x14ac:dyDescent="0.35">
      <c r="U8" s="7"/>
    </row>
    <row r="9" spans="1:21" ht="14.5" thickBot="1" x14ac:dyDescent="0.35">
      <c r="U9" s="7"/>
    </row>
    <row r="10" spans="1:21" ht="14.5" thickBot="1" x14ac:dyDescent="0.35">
      <c r="U10" s="7"/>
    </row>
    <row r="11" spans="1:21" ht="14.5" thickBot="1" x14ac:dyDescent="0.35">
      <c r="U11" s="7"/>
    </row>
    <row r="12" spans="1:21" ht="14.5" thickBot="1" x14ac:dyDescent="0.35">
      <c r="A12" s="4"/>
      <c r="B12" s="16"/>
      <c r="U12" s="7"/>
    </row>
    <row r="13" spans="1:21" ht="14.5" thickBot="1" x14ac:dyDescent="0.35">
      <c r="A13" s="4"/>
      <c r="B13" s="16"/>
      <c r="U13" s="7"/>
    </row>
    <row r="14" spans="1:21" ht="14.5" thickBot="1" x14ac:dyDescent="0.35">
      <c r="A14" s="4"/>
      <c r="B14" s="16"/>
      <c r="U14" s="7"/>
    </row>
    <row r="15" spans="1:21" ht="14.5" thickBot="1" x14ac:dyDescent="0.35">
      <c r="A15" s="4"/>
      <c r="B15" s="16"/>
      <c r="U15" s="7"/>
    </row>
    <row r="16" spans="1:21" ht="14.5" thickBot="1" x14ac:dyDescent="0.35">
      <c r="A16" s="4"/>
      <c r="B16" s="16"/>
      <c r="U16" s="7"/>
    </row>
    <row r="17" spans="1:21" ht="14.5" thickBot="1" x14ac:dyDescent="0.35">
      <c r="A17" s="4"/>
      <c r="B17" s="16"/>
      <c r="U17" s="7"/>
    </row>
    <row r="18" spans="1:21" ht="14.5" thickBot="1" x14ac:dyDescent="0.35">
      <c r="A18" s="4"/>
      <c r="B18" s="16"/>
      <c r="U18" s="7"/>
    </row>
    <row r="19" spans="1:21" ht="14.5" thickBot="1" x14ac:dyDescent="0.35">
      <c r="A19" s="4"/>
      <c r="B19" s="16"/>
      <c r="U19" s="7"/>
    </row>
    <row r="20" spans="1:21" ht="14.5" thickBot="1" x14ac:dyDescent="0.35">
      <c r="A20" s="4"/>
      <c r="B20" s="16"/>
      <c r="U20" s="7"/>
    </row>
    <row r="21" spans="1:21" ht="14.5" thickBot="1" x14ac:dyDescent="0.35">
      <c r="A21" s="4"/>
      <c r="B21" s="16"/>
      <c r="U21" s="7"/>
    </row>
  </sheetData>
  <autoFilter ref="A1:G21" xr:uid="{DAC2C951-D1A2-40FC-9960-3D14AA8C6AE8}"/>
  <phoneticPr fontId="2" type="noConversion"/>
  <conditionalFormatting sqref="S2:S21">
    <cfRule type="duplicateValues" dxfId="2" priority="18"/>
  </conditionalFormatting>
  <conditionalFormatting sqref="S22:S1048576">
    <cfRule type="duplicateValues" dxfId="1" priority="4"/>
  </conditionalFormatting>
  <conditionalFormatting sqref="S1:T1">
    <cfRule type="duplicateValues" dxfId="0" priority="2"/>
  </conditionalFormatting>
  <hyperlinks>
    <hyperlink ref="M2" r:id="rId1" xr:uid="{EF4487BE-1F75-467E-BFED-E542CE1E18E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C8" sqref="C8"/>
    </sheetView>
  </sheetViews>
  <sheetFormatPr defaultRowHeight="14" x14ac:dyDescent="0.3"/>
  <cols>
    <col min="1" max="1" width="16.9140625" customWidth="1"/>
    <col min="2" max="2" width="40.58203125" customWidth="1"/>
    <col min="3" max="3" width="55.75" customWidth="1"/>
  </cols>
  <sheetData>
    <row r="1" spans="1:3" ht="14.5" thickBot="1" x14ac:dyDescent="0.35">
      <c r="A1" s="11" t="s">
        <v>29</v>
      </c>
      <c r="B1" s="12" t="s">
        <v>31</v>
      </c>
      <c r="C1" s="1" t="s">
        <v>30</v>
      </c>
    </row>
    <row r="2" spans="1:3" ht="14.5" thickBot="1" x14ac:dyDescent="0.35">
      <c r="A2" s="5" t="s">
        <v>10</v>
      </c>
      <c r="B2" s="2" t="s">
        <v>0</v>
      </c>
    </row>
    <row r="3" spans="1:3" ht="70" customHeight="1" thickBot="1" x14ac:dyDescent="0.35">
      <c r="A3" s="13" t="s">
        <v>1</v>
      </c>
      <c r="B3" s="14"/>
      <c r="C3" s="3"/>
    </row>
    <row r="4" spans="1:3" ht="14" customHeight="1" x14ac:dyDescent="0.3">
      <c r="A4" s="24" t="s">
        <v>32</v>
      </c>
      <c r="B4" s="4" t="s">
        <v>2</v>
      </c>
      <c r="C4" s="24"/>
    </row>
    <row r="5" spans="1:3" ht="14.5" thickBot="1" x14ac:dyDescent="0.35">
      <c r="A5" s="25"/>
      <c r="B5" s="6" t="s">
        <v>3</v>
      </c>
      <c r="C5" s="25"/>
    </row>
    <row r="6" spans="1:3" ht="68" customHeight="1" thickBot="1" x14ac:dyDescent="0.35">
      <c r="A6" s="7" t="s">
        <v>4</v>
      </c>
      <c r="B6" s="7" t="s">
        <v>5</v>
      </c>
      <c r="C6" s="7"/>
    </row>
    <row r="7" spans="1:3" ht="56.5" customHeight="1" thickBot="1" x14ac:dyDescent="0.35">
      <c r="A7" s="7" t="s">
        <v>6</v>
      </c>
      <c r="B7" s="7" t="s">
        <v>7</v>
      </c>
      <c r="C7" s="7"/>
    </row>
    <row r="8" spans="1:3" ht="68" customHeight="1" thickBot="1" x14ac:dyDescent="0.35">
      <c r="A8" s="7" t="s">
        <v>9</v>
      </c>
      <c r="B8" s="7" t="s">
        <v>8</v>
      </c>
      <c r="C8" s="7"/>
    </row>
    <row r="9" spans="1:3" ht="14.5" thickBot="1" x14ac:dyDescent="0.35"/>
    <row r="10" spans="1:3" ht="14.5" customHeight="1" thickBot="1" x14ac:dyDescent="0.35">
      <c r="A10" s="26" t="s">
        <v>11</v>
      </c>
      <c r="B10" s="27"/>
      <c r="C10" s="8"/>
    </row>
    <row r="11" spans="1:3" ht="14.5" thickBot="1" x14ac:dyDescent="0.35">
      <c r="A11" s="7" t="s">
        <v>12</v>
      </c>
      <c r="B11" s="9" t="s">
        <v>13</v>
      </c>
    </row>
    <row r="12" spans="1:3" ht="28.5" thickBot="1" x14ac:dyDescent="0.35">
      <c r="A12" s="7" t="s">
        <v>14</v>
      </c>
      <c r="B12" s="9" t="s">
        <v>15</v>
      </c>
    </row>
    <row r="13" spans="1:3" ht="14.5" thickBot="1" x14ac:dyDescent="0.35">
      <c r="A13" s="7" t="s">
        <v>16</v>
      </c>
      <c r="B13" s="9" t="s">
        <v>17</v>
      </c>
    </row>
    <row r="14" spans="1:3" ht="14.5" thickBot="1" x14ac:dyDescent="0.35">
      <c r="A14" s="7" t="s">
        <v>18</v>
      </c>
      <c r="B14" s="9" t="s">
        <v>19</v>
      </c>
    </row>
    <row r="15" spans="1:3" ht="14.5" thickBot="1" x14ac:dyDescent="0.35">
      <c r="A15" s="26" t="s">
        <v>20</v>
      </c>
      <c r="B15" s="27"/>
      <c r="C15" s="8"/>
    </row>
    <row r="16" spans="1:3" ht="14.5" thickBot="1" x14ac:dyDescent="0.35">
      <c r="A16" s="24" t="s">
        <v>21</v>
      </c>
      <c r="B16" s="7" t="s">
        <v>22</v>
      </c>
    </row>
    <row r="17" spans="1:3" ht="14.5" thickBot="1" x14ac:dyDescent="0.35">
      <c r="A17" s="25"/>
      <c r="B17" s="7" t="s">
        <v>50</v>
      </c>
      <c r="C17" s="7"/>
    </row>
    <row r="18" spans="1:3" ht="14.5" thickBot="1" x14ac:dyDescent="0.35">
      <c r="A18" s="7" t="s">
        <v>23</v>
      </c>
      <c r="B18" s="9" t="s">
        <v>24</v>
      </c>
    </row>
    <row r="19" spans="1:3" ht="14.5" thickBot="1" x14ac:dyDescent="0.35">
      <c r="A19" s="7" t="s">
        <v>25</v>
      </c>
      <c r="B19" s="9" t="s">
        <v>26</v>
      </c>
    </row>
    <row r="20" spans="1:3" ht="28.5" thickBot="1" x14ac:dyDescent="0.35">
      <c r="A20" s="10" t="s">
        <v>27</v>
      </c>
      <c r="B20" s="7" t="s">
        <v>28</v>
      </c>
      <c r="C20" s="7"/>
    </row>
    <row r="21" spans="1:3" x14ac:dyDescent="0.3">
      <c r="A21" t="s">
        <v>33</v>
      </c>
    </row>
    <row r="22" spans="1:3" x14ac:dyDescent="0.3">
      <c r="B22" t="s">
        <v>51</v>
      </c>
      <c r="C22" s="17" t="s">
        <v>52</v>
      </c>
    </row>
    <row r="23" spans="1:3" ht="14.5" thickBot="1" x14ac:dyDescent="0.35">
      <c r="B23" s="17" t="s">
        <v>48</v>
      </c>
      <c r="C23" s="17" t="s">
        <v>49</v>
      </c>
    </row>
    <row r="24" spans="1:3" ht="14.5" thickBot="1" x14ac:dyDescent="0.35">
      <c r="B24" s="19" t="s">
        <v>46</v>
      </c>
      <c r="C24" s="7" t="s">
        <v>53</v>
      </c>
    </row>
    <row r="25" spans="1:3" ht="14.5" thickBot="1" x14ac:dyDescent="0.35">
      <c r="B25" s="19" t="s">
        <v>47</v>
      </c>
      <c r="C25" t="s">
        <v>54</v>
      </c>
    </row>
  </sheetData>
  <mergeCells count="5">
    <mergeCell ref="A16:A17"/>
    <mergeCell ref="A4:A5"/>
    <mergeCell ref="C4:C5"/>
    <mergeCell ref="A10:B10"/>
    <mergeCell ref="A15:B15"/>
  </mergeCells>
  <phoneticPr fontId="2" type="noConversion"/>
  <hyperlinks>
    <hyperlink ref="B2" r:id="rId1" xr:uid="{9B8C4BE5-F366-4B8E-A207-829ADD6F55D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ID 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2015-06-05T18:17:20Z</dcterms:created>
  <dcterms:modified xsi:type="dcterms:W3CDTF">2026-04-21T08:35:43Z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2026-03-24T06:52:41Z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768ee3c2-65a6-4808-bc3a-a2ed84d7c36b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